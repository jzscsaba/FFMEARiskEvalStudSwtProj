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Sajat_Cikkek\Mathematics\"/>
    </mc:Choice>
  </mc:AlternateContent>
  <xr:revisionPtr revIDLastSave="0" documentId="13_ncr:9_{5D2F3911-A629-47EA-9936-C8BFC6392040}" xr6:coauthVersionLast="47" xr6:coauthVersionMax="47" xr10:uidLastSave="{00000000-0000-0000-0000-000000000000}"/>
  <bookViews>
    <workbookView xWindow="-98" yWindow="-98" windowWidth="28996" windowHeight="15796" xr2:uid="{00000000-000D-0000-FFFF-FFFF00000000}"/>
  </bookViews>
  <sheets>
    <sheet name="FMEA" sheetId="1" r:id="rId1"/>
    <sheet name="Charts" sheetId="2" r:id="rId2"/>
    <sheet name="Action efficiency" sheetId="3" r:id="rId3"/>
  </sheets>
  <calcPr calcId="181029"/>
</workbook>
</file>

<file path=xl/calcChain.xml><?xml version="1.0" encoding="utf-8"?>
<calcChain xmlns="http://schemas.openxmlformats.org/spreadsheetml/2006/main">
  <c r="R4" i="1" l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3" i="1"/>
</calcChain>
</file>

<file path=xl/sharedStrings.xml><?xml version="1.0" encoding="utf-8"?>
<sst xmlns="http://schemas.openxmlformats.org/spreadsheetml/2006/main" count="280" uniqueCount="132">
  <si>
    <t>Substep</t>
  </si>
  <si>
    <t>Potential failure mode</t>
  </si>
  <si>
    <t>Action results</t>
  </si>
  <si>
    <t>Potential effect of failure</t>
  </si>
  <si>
    <t>Potential cause of failure</t>
  </si>
  <si>
    <t>Recommended action</t>
  </si>
  <si>
    <t>Action taken</t>
  </si>
  <si>
    <t>Design API</t>
  </si>
  <si>
    <t>Study existing data structures</t>
  </si>
  <si>
    <t>Use a sub-optimal data structure</t>
  </si>
  <si>
    <t>Incorrect interpretation</t>
  </si>
  <si>
    <t>Incorrect implementation</t>
  </si>
  <si>
    <t>Lack of basic
theoretical knowledge</t>
  </si>
  <si>
    <t>The developer does not understand the theoretical description at all</t>
  </si>
  <si>
    <t>Unable to implement</t>
  </si>
  <si>
    <t>The sample solution is not correct</t>
  </si>
  <si>
    <t>Code review</t>
  </si>
  <si>
    <t>Code review and test on sample data</t>
  </si>
  <si>
    <t>Misinterpretation</t>
  </si>
  <si>
    <t>Lack of attention</t>
  </si>
  <si>
    <t xml:space="preserve">Unit test </t>
  </si>
  <si>
    <t>Unit test</t>
  </si>
  <si>
    <t>Compatibility check</t>
  </si>
  <si>
    <t>Inadequate background knowledge</t>
  </si>
  <si>
    <t>Data structure design</t>
  </si>
  <si>
    <t>Main step</t>
  </si>
  <si>
    <t>Current status</t>
  </si>
  <si>
    <t>Control, prevention</t>
  </si>
  <si>
    <t>S</t>
  </si>
  <si>
    <t>O</t>
  </si>
  <si>
    <t>D</t>
  </si>
  <si>
    <t>RPN</t>
  </si>
  <si>
    <t>Optimisation of data structure</t>
  </si>
  <si>
    <t>Re-read or ask for help</t>
  </si>
  <si>
    <t>Consultation, request for help</t>
  </si>
  <si>
    <t>Communication</t>
  </si>
  <si>
    <t>Poor communication</t>
  </si>
  <si>
    <t>Team members misunderstand the security requirements</t>
  </si>
  <si>
    <t>Insufficient security related knowledge</t>
  </si>
  <si>
    <t>-</t>
  </si>
  <si>
    <t>Dedicate meeting for discussing security requirements</t>
  </si>
  <si>
    <t>Dedicated meeting for discussing security requirements</t>
  </si>
  <si>
    <t>Performancy of the module is low</t>
  </si>
  <si>
    <t>Datastructure design insufficiency
data structure</t>
  </si>
  <si>
    <t>Data structure optimized</t>
  </si>
  <si>
    <t>Create API</t>
  </si>
  <si>
    <t>Missing data</t>
  </si>
  <si>
    <t>Interface redesign necessary</t>
  </si>
  <si>
    <t xml:space="preserve">Not predictable at the design phase
</t>
  </si>
  <si>
    <t>Syntax control when writing the unit test</t>
  </si>
  <si>
    <t>Careful study of the method's description</t>
  </si>
  <si>
    <t>Overly complex interfaces</t>
  </si>
  <si>
    <t>Too much functionality in a single method</t>
  </si>
  <si>
    <t>Each method should have only a single responsibility. Provide clear and comprehensible documentation.</t>
  </si>
  <si>
    <t>Integration test</t>
  </si>
  <si>
    <t>It will be difficult to understand and use the library</t>
  </si>
  <si>
    <t>Discussion of the algorithm during team meatings</t>
  </si>
  <si>
    <t>Algorithm discussed</t>
  </si>
  <si>
    <t>Discussion of the algorithm during team meatings or request help from the instructor</t>
  </si>
  <si>
    <t>Help requested from the instructor</t>
  </si>
  <si>
    <t>Search for existing
implementation</t>
  </si>
  <si>
    <t>The developer of the sample solution made a wrong implementation</t>
  </si>
  <si>
    <t>Adapt an existing sample solution</t>
  </si>
  <si>
    <t>Missing field/propety</t>
  </si>
  <si>
    <t>Chose default values for hyperparamters</t>
  </si>
  <si>
    <t>Sub-optimal values</t>
  </si>
  <si>
    <t>Reduced efficiency of the algorithm</t>
  </si>
  <si>
    <t>Lack of attention or lack of knowledge</t>
  </si>
  <si>
    <t>Implement algorithm</t>
  </si>
  <si>
    <t>Incorrect module</t>
  </si>
  <si>
    <t>Hyper-paramter review during team meetings</t>
  </si>
  <si>
    <t>Inappropriate internal data structure</t>
  </si>
  <si>
    <t>Lack of knowledge</t>
  </si>
  <si>
    <t>Data structure validation during team meetings</t>
  </si>
  <si>
    <t>The test plan does not give full code coverage</t>
  </si>
  <si>
    <t>Implementation not tested properly</t>
  </si>
  <si>
    <t>Missing test cases</t>
  </si>
  <si>
    <t>Usage of automatic code coverage evaluation tools.</t>
  </si>
  <si>
    <t>The implementation of the required interface is not correct</t>
  </si>
  <si>
    <t>The library lacks the implementation of the algorithm</t>
  </si>
  <si>
    <t>Implementation error</t>
  </si>
  <si>
    <t>Integration not possible</t>
  </si>
  <si>
    <t>The visual interface of the library lacks the implementation of the algorithm</t>
  </si>
  <si>
    <t>Integration with the visual interface</t>
  </si>
  <si>
    <t>Lack of error/exception handling</t>
  </si>
  <si>
    <t>Unhandled exceptions leading to program crashes or unexpected behavior</t>
  </si>
  <si>
    <t>Overlooking potential failure points</t>
  </si>
  <si>
    <t>Emphasize on team meetings the importance of error handling mechanisms</t>
  </si>
  <si>
    <t>Emphasize on team meetings the importance of error handling mechanisms. Create unit tests for stress testing.</t>
  </si>
  <si>
    <t>Inadequate performance optimization</t>
  </si>
  <si>
    <t>Inefficient resource utilization</t>
  </si>
  <si>
    <t>Suboptimal execution times</t>
  </si>
  <si>
    <t>Failure to optimize critical sections</t>
  </si>
  <si>
    <t>Performance optimization</t>
  </si>
  <si>
    <t>Use profiling tools to identify bottlenecks. Optimize critical sections of code. Continuously monitor and improve performance.</t>
  </si>
  <si>
    <t>Poor documentation</t>
  </si>
  <si>
    <t>Documentation</t>
  </si>
  <si>
    <t>Increased likelihood of introducing errors during updates</t>
  </si>
  <si>
    <t>Neglecting documentation during development</t>
  </si>
  <si>
    <t>Incomplete or unclear comments in the code</t>
  </si>
  <si>
    <t>Regular code review</t>
  </si>
  <si>
    <t>Maintain up-to-date documentation.
Conduct code reviews to ensure clarity</t>
  </si>
  <si>
    <t>Ineffective collaboration</t>
  </si>
  <si>
    <t>Teamwork</t>
  </si>
  <si>
    <t>Duplication of efforts</t>
  </si>
  <si>
    <t>Poorly defined responsibilities</t>
  </si>
  <si>
    <t>Define roles and responsibilities. Conduct regular team meetings and code reviews.</t>
  </si>
  <si>
    <t>Study algorithm description</t>
  </si>
  <si>
    <t>Integrate into library</t>
  </si>
  <si>
    <t>No</t>
  </si>
  <si>
    <t>Risk reduction</t>
  </si>
  <si>
    <t xml:space="preserve"> 19</t>
  </si>
  <si>
    <t xml:space="preserve"> 14</t>
  </si>
  <si>
    <t xml:space="preserve"> 1</t>
  </si>
  <si>
    <t xml:space="preserve"> 6</t>
  </si>
  <si>
    <t xml:space="preserve"> 17</t>
  </si>
  <si>
    <t>11</t>
  </si>
  <si>
    <t xml:space="preserve"> 8</t>
  </si>
  <si>
    <t xml:space="preserve"> 21</t>
  </si>
  <si>
    <t xml:space="preserve"> 18</t>
  </si>
  <si>
    <t xml:space="preserve"> 2</t>
  </si>
  <si>
    <t xml:space="preserve"> 15</t>
  </si>
  <si>
    <t xml:space="preserve"> 16</t>
  </si>
  <si>
    <t xml:space="preserve"> 20</t>
  </si>
  <si>
    <t xml:space="preserve"> 13</t>
  </si>
  <si>
    <t xml:space="preserve"> 3</t>
  </si>
  <si>
    <t xml:space="preserve"> 7</t>
  </si>
  <si>
    <t xml:space="preserve"> 10</t>
  </si>
  <si>
    <t xml:space="preserve"> 9</t>
  </si>
  <si>
    <t xml:space="preserve"> 5</t>
  </si>
  <si>
    <t xml:space="preserve"> 4</t>
  </si>
  <si>
    <t xml:space="preserve">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</si>
</sst>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rgb="FF000000"/>
      <name val="Times New Roman"/>
      <charset val="204"/>
    </font>
    <font>
      <sz val="10"/>
      <color rgb="FF000000"/>
      <name val="Arial Narrow"/>
      <family val="2"/>
      <charset val="238"/>
    </font>
    <font>
      <b/>
      <sz val="10"/>
      <name val="Arial Narrow"/>
      <family val="2"/>
      <charset val="238"/>
    </font>
    <font>
      <sz val="10"/>
      <name val="Arial Narrow"/>
      <family val="2"/>
      <charset val="238"/>
    </font>
    <font>
      <sz val="10"/>
      <color rgb="FF000000"/>
      <name val="Times New Roman"/>
      <charset val="204"/>
    </font>
    <font>
      <b/>
      <sz val="10"/>
      <color rgb="FF000000"/>
      <name val="Arial Narrow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2">
    <xf numFmtId="0" fontId="0" fillId="0" borderId="0" xfId="0" applyAlignment="1">
      <alignment horizontal="left" vertical="top"/>
    </xf>
    <xf numFmtId="0" fontId="1" fillId="0" borderId="0" xfId="0" applyFont="1" applyAlignment="1">
      <alignment horizontal="left" vertical="top"/>
    </xf>
    <xf numFmtId="0" fontId="2" fillId="2" borderId="1" xfId="0" applyFont="1" applyFill="1" applyBorder="1" applyAlignment="1">
      <alignment vertical="top" wrapText="1"/>
    </xf>
    <xf numFmtId="0" fontId="2" fillId="2" borderId="1" xfId="0" applyFont="1" applyFill="1" applyBorder="1" applyAlignment="1">
      <alignment horizontal="left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left" vertical="top" wrapText="1"/>
    </xf>
    <xf numFmtId="1" fontId="1" fillId="0" borderId="1" xfId="0" applyNumberFormat="1" applyFont="1" applyBorder="1" applyAlignment="1">
      <alignment horizontal="center" vertical="top" shrinkToFit="1"/>
    </xf>
    <xf numFmtId="2" fontId="1" fillId="0" borderId="1" xfId="0" applyNumberFormat="1" applyFont="1" applyBorder="1" applyAlignment="1">
      <alignment horizontal="left" vertical="top" shrinkToFit="1"/>
    </xf>
    <xf numFmtId="2" fontId="1" fillId="0" borderId="1" xfId="0" applyNumberFormat="1" applyFont="1" applyBorder="1" applyAlignment="1">
      <alignment horizontal="center" vertical="top" shrinkToFit="1"/>
    </xf>
    <xf numFmtId="0" fontId="1" fillId="0" borderId="1" xfId="0" quotePrefix="1" applyFont="1" applyBorder="1" applyAlignment="1">
      <alignment horizontal="left" vertical="top" wrapText="1"/>
    </xf>
    <xf numFmtId="0" fontId="1" fillId="0" borderId="0" xfId="0" applyFont="1" applyFill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" xfId="0" quotePrefix="1" applyFont="1" applyBorder="1" applyAlignment="1">
      <alignment horizontal="left" vertical="top"/>
    </xf>
    <xf numFmtId="0" fontId="1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9" fontId="1" fillId="0" borderId="1" xfId="1" applyFont="1" applyBorder="1" applyAlignment="1">
      <alignment horizontal="left" vertical="top"/>
    </xf>
    <xf numFmtId="49" fontId="5" fillId="2" borderId="1" xfId="0" applyNumberFormat="1" applyFont="1" applyFill="1" applyBorder="1" applyAlignment="1">
      <alignment horizontal="left" vertical="top"/>
    </xf>
    <xf numFmtId="49" fontId="1" fillId="0" borderId="1" xfId="0" applyNumberFormat="1" applyFont="1" applyBorder="1" applyAlignment="1">
      <alignment horizontal="left" vertical="top"/>
    </xf>
  </cellXfs>
  <cellStyles count="2">
    <cellStyle name="Normál" xfId="0" builtinId="0"/>
    <cellStyle name="Százalék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Charts!$B$1</c:f>
              <c:strCache>
                <c:ptCount val="1"/>
                <c:pt idx="0">
                  <c:v>RPN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Charts!$A$2:$A$22</c:f>
              <c:strCache>
                <c:ptCount val="21"/>
                <c:pt idx="0">
                  <c:v> 19</c:v>
                </c:pt>
                <c:pt idx="1">
                  <c:v> 14</c:v>
                </c:pt>
                <c:pt idx="2">
                  <c:v> 1</c:v>
                </c:pt>
                <c:pt idx="3">
                  <c:v> 6</c:v>
                </c:pt>
                <c:pt idx="4">
                  <c:v> 17</c:v>
                </c:pt>
                <c:pt idx="5">
                  <c:v>11</c:v>
                </c:pt>
                <c:pt idx="6">
                  <c:v> 8</c:v>
                </c:pt>
                <c:pt idx="7">
                  <c:v> 21</c:v>
                </c:pt>
                <c:pt idx="8">
                  <c:v> 18</c:v>
                </c:pt>
                <c:pt idx="9">
                  <c:v> 2</c:v>
                </c:pt>
                <c:pt idx="10">
                  <c:v> 15</c:v>
                </c:pt>
                <c:pt idx="11">
                  <c:v> 16</c:v>
                </c:pt>
                <c:pt idx="12">
                  <c:v> 20</c:v>
                </c:pt>
                <c:pt idx="13">
                  <c:v> 13</c:v>
                </c:pt>
                <c:pt idx="14">
                  <c:v> 3</c:v>
                </c:pt>
                <c:pt idx="15">
                  <c:v> 7</c:v>
                </c:pt>
                <c:pt idx="16">
                  <c:v> 10</c:v>
                </c:pt>
                <c:pt idx="17">
                  <c:v> 9</c:v>
                </c:pt>
                <c:pt idx="18">
                  <c:v> 5</c:v>
                </c:pt>
                <c:pt idx="19">
                  <c:v> 4</c:v>
                </c:pt>
                <c:pt idx="20">
                  <c:v> 12</c:v>
                </c:pt>
              </c:strCache>
            </c:strRef>
          </c:cat>
          <c:val>
            <c:numRef>
              <c:f>Charts!$B$2:$B$22</c:f>
              <c:numCache>
                <c:formatCode>0.00</c:formatCode>
                <c:ptCount val="21"/>
                <c:pt idx="0">
                  <c:v>773</c:v>
                </c:pt>
                <c:pt idx="1">
                  <c:v>666.93</c:v>
                </c:pt>
                <c:pt idx="2" formatCode="General">
                  <c:v>577.6</c:v>
                </c:pt>
                <c:pt idx="3">
                  <c:v>561.05999999999995</c:v>
                </c:pt>
                <c:pt idx="4" formatCode="General">
                  <c:v>546.73</c:v>
                </c:pt>
                <c:pt idx="5">
                  <c:v>520.67999999999995</c:v>
                </c:pt>
                <c:pt idx="6">
                  <c:v>500.5</c:v>
                </c:pt>
                <c:pt idx="7">
                  <c:v>500.5</c:v>
                </c:pt>
                <c:pt idx="8" formatCode="General">
                  <c:v>454.27</c:v>
                </c:pt>
                <c:pt idx="9" formatCode="General">
                  <c:v>425.34</c:v>
                </c:pt>
                <c:pt idx="10" formatCode="General">
                  <c:v>425.34</c:v>
                </c:pt>
                <c:pt idx="11" formatCode="General">
                  <c:v>425.34</c:v>
                </c:pt>
                <c:pt idx="12">
                  <c:v>411.13</c:v>
                </c:pt>
                <c:pt idx="13">
                  <c:v>383.99</c:v>
                </c:pt>
                <c:pt idx="14">
                  <c:v>369.56</c:v>
                </c:pt>
                <c:pt idx="15">
                  <c:v>323.14</c:v>
                </c:pt>
                <c:pt idx="16">
                  <c:v>323.14</c:v>
                </c:pt>
                <c:pt idx="17">
                  <c:v>290.23</c:v>
                </c:pt>
                <c:pt idx="18">
                  <c:v>243.31</c:v>
                </c:pt>
                <c:pt idx="19">
                  <c:v>241.46</c:v>
                </c:pt>
                <c:pt idx="20">
                  <c:v>217.63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9-40BC-9DAB-CFB70BF9A4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8857376"/>
        <c:axId val="415539680"/>
      </c:barChart>
      <c:catAx>
        <c:axId val="40885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No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9445013123359582"/>
              <c:y val="0.878680373286672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39680"/>
        <c:crosses val="autoZero"/>
        <c:auto val="1"/>
        <c:lblAlgn val="ctr"/>
        <c:lblOffset val="100"/>
        <c:noMultiLvlLbl val="0"/>
      </c:catAx>
      <c:valAx>
        <c:axId val="41553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RPN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85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RPN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Charts!$A$26:$A$46</c:f>
              <c:strCache>
                <c:ptCount val="21"/>
                <c:pt idx="0">
                  <c:v> 19</c:v>
                </c:pt>
                <c:pt idx="1">
                  <c:v> 14</c:v>
                </c:pt>
                <c:pt idx="2">
                  <c:v> 1</c:v>
                </c:pt>
                <c:pt idx="3">
                  <c:v> 6</c:v>
                </c:pt>
                <c:pt idx="4">
                  <c:v> 17</c:v>
                </c:pt>
                <c:pt idx="5">
                  <c:v>11</c:v>
                </c:pt>
                <c:pt idx="6">
                  <c:v> 8</c:v>
                </c:pt>
                <c:pt idx="7">
                  <c:v> 21</c:v>
                </c:pt>
                <c:pt idx="8">
                  <c:v> 18</c:v>
                </c:pt>
                <c:pt idx="9">
                  <c:v> 2</c:v>
                </c:pt>
                <c:pt idx="10">
                  <c:v> 15</c:v>
                </c:pt>
                <c:pt idx="11">
                  <c:v> 16</c:v>
                </c:pt>
                <c:pt idx="12">
                  <c:v> 20</c:v>
                </c:pt>
                <c:pt idx="13">
                  <c:v> 13</c:v>
                </c:pt>
                <c:pt idx="14">
                  <c:v> 3</c:v>
                </c:pt>
                <c:pt idx="15">
                  <c:v> 7</c:v>
                </c:pt>
                <c:pt idx="16">
                  <c:v> 10</c:v>
                </c:pt>
                <c:pt idx="17">
                  <c:v> 9</c:v>
                </c:pt>
                <c:pt idx="18">
                  <c:v> 5</c:v>
                </c:pt>
                <c:pt idx="19">
                  <c:v> 4</c:v>
                </c:pt>
                <c:pt idx="20">
                  <c:v> 12</c:v>
                </c:pt>
              </c:strCache>
            </c:strRef>
          </c:cat>
          <c:val>
            <c:numRef>
              <c:f>Charts!$B$26:$B$46</c:f>
              <c:numCache>
                <c:formatCode>0.00</c:formatCode>
                <c:ptCount val="21"/>
                <c:pt idx="0">
                  <c:v>140.03</c:v>
                </c:pt>
                <c:pt idx="1">
                  <c:v>167.57</c:v>
                </c:pt>
                <c:pt idx="2" formatCode="General">
                  <c:v>243.31</c:v>
                </c:pt>
                <c:pt idx="3">
                  <c:v>161.62</c:v>
                </c:pt>
                <c:pt idx="4" formatCode="General">
                  <c:v>165.8</c:v>
                </c:pt>
                <c:pt idx="5">
                  <c:v>323.14</c:v>
                </c:pt>
                <c:pt idx="6">
                  <c:v>140.03</c:v>
                </c:pt>
                <c:pt idx="7">
                  <c:v>237.52</c:v>
                </c:pt>
                <c:pt idx="8" formatCode="General">
                  <c:v>140.03</c:v>
                </c:pt>
                <c:pt idx="9" formatCode="General">
                  <c:v>162.47999999999999</c:v>
                </c:pt>
                <c:pt idx="10" formatCode="General">
                  <c:v>162.47999999999999</c:v>
                </c:pt>
                <c:pt idx="11" formatCode="General">
                  <c:v>162.47999999999999</c:v>
                </c:pt>
                <c:pt idx="12">
                  <c:v>369.56</c:v>
                </c:pt>
                <c:pt idx="13">
                  <c:v>54.17</c:v>
                </c:pt>
                <c:pt idx="14">
                  <c:v>221.62</c:v>
                </c:pt>
                <c:pt idx="15">
                  <c:v>61.53</c:v>
                </c:pt>
                <c:pt idx="16">
                  <c:v>140.03</c:v>
                </c:pt>
                <c:pt idx="17">
                  <c:v>140.03</c:v>
                </c:pt>
                <c:pt idx="18">
                  <c:v>161.52000000000001</c:v>
                </c:pt>
                <c:pt idx="19">
                  <c:v>140.03</c:v>
                </c:pt>
                <c:pt idx="20">
                  <c:v>61.53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CE1-A49E-89AE4AF569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6804224"/>
        <c:axId val="644751264"/>
      </c:barChart>
      <c:catAx>
        <c:axId val="416804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No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51264"/>
        <c:crosses val="autoZero"/>
        <c:auto val="1"/>
        <c:lblAlgn val="ctr"/>
        <c:lblOffset val="100"/>
        <c:noMultiLvlLbl val="0"/>
      </c:catAx>
      <c:valAx>
        <c:axId val="6447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RPN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0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352423</xdr:colOff>
      <xdr:row>1</xdr:row>
      <xdr:rowOff>0</xdr:rowOff>
    </xdr:from>
    <xdr:to>
      <xdr:col>18</xdr:col>
      <xdr:colOff>338138</xdr:colOff>
      <xdr:row>17</xdr:row>
      <xdr:rowOff>152400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A2824755-07A5-BDF3-058B-5388EAE31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361948</xdr:colOff>
      <xdr:row>18</xdr:row>
      <xdr:rowOff>152400</xdr:rowOff>
    </xdr:from>
    <xdr:to>
      <xdr:col>18</xdr:col>
      <xdr:colOff>338137</xdr:colOff>
      <xdr:row>35</xdr:row>
      <xdr:rowOff>142875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E1D3DF3F-E053-9384-C3C9-6C823B66D1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>
    <pageSetUpPr fitToPage="1"/>
  </sheetPr>
  <dimension ref="A1:R23"/>
  <sheetViews>
    <sheetView tabSelected="1" zoomScale="120" zoomScaleNormal="120" workbookViewId="0">
      <selection activeCell="F10" sqref="F10"/>
    </sheetView>
  </sheetViews>
  <sheetFormatPr defaultRowHeight="12.75" x14ac:dyDescent="0.2"/>
  <cols>
    <col min="1" max="1" width="9.33203125" style="1"/>
    <col min="2" max="2" width="30.6640625" style="1" hidden="1" customWidth="1"/>
    <col min="3" max="3" width="21" style="1" customWidth="1"/>
    <col min="4" max="4" width="20.5" style="1" customWidth="1"/>
    <col min="5" max="6" width="20.6640625" style="1" customWidth="1"/>
    <col min="7" max="7" width="9.5" style="1" customWidth="1"/>
    <col min="8" max="10" width="4.33203125" style="18" customWidth="1"/>
    <col min="11" max="11" width="6.83203125" style="1" customWidth="1"/>
    <col min="12" max="12" width="23.83203125" style="1" customWidth="1"/>
    <col min="13" max="13" width="20.6640625" style="1" hidden="1" customWidth="1"/>
    <col min="14" max="16" width="4.33203125" style="18" hidden="1" customWidth="1"/>
    <col min="17" max="17" width="6.83203125" style="1" hidden="1" customWidth="1"/>
    <col min="18" max="18" width="12.1640625" style="1" hidden="1" customWidth="1"/>
    <col min="19" max="19" width="0" style="1" hidden="1" customWidth="1"/>
    <col min="20" max="16384" width="9.33203125" style="1"/>
  </cols>
  <sheetData>
    <row r="1" spans="1:18" x14ac:dyDescent="0.2">
      <c r="G1" s="5" t="s">
        <v>26</v>
      </c>
      <c r="H1" s="5"/>
      <c r="I1" s="5"/>
      <c r="J1" s="5"/>
      <c r="K1" s="5"/>
      <c r="L1" s="14"/>
      <c r="M1" s="5" t="s">
        <v>2</v>
      </c>
      <c r="N1" s="5"/>
      <c r="O1" s="5"/>
      <c r="P1" s="5"/>
      <c r="Q1" s="5"/>
    </row>
    <row r="2" spans="1:18" ht="25.5" x14ac:dyDescent="0.2">
      <c r="A2" s="20" t="s">
        <v>109</v>
      </c>
      <c r="B2" s="2" t="s">
        <v>25</v>
      </c>
      <c r="C2" s="2" t="s">
        <v>0</v>
      </c>
      <c r="D2" s="2" t="s">
        <v>1</v>
      </c>
      <c r="E2" s="2" t="s">
        <v>3</v>
      </c>
      <c r="F2" s="2" t="s">
        <v>4</v>
      </c>
      <c r="G2" s="3" t="s">
        <v>27</v>
      </c>
      <c r="H2" s="4" t="s">
        <v>28</v>
      </c>
      <c r="I2" s="4" t="s">
        <v>29</v>
      </c>
      <c r="J2" s="4" t="s">
        <v>30</v>
      </c>
      <c r="K2" s="3" t="s">
        <v>31</v>
      </c>
      <c r="L2" s="2" t="s">
        <v>5</v>
      </c>
      <c r="M2" s="3" t="s">
        <v>6</v>
      </c>
      <c r="N2" s="4" t="s">
        <v>28</v>
      </c>
      <c r="O2" s="4" t="s">
        <v>29</v>
      </c>
      <c r="P2" s="4" t="s">
        <v>30</v>
      </c>
      <c r="Q2" s="4" t="s">
        <v>31</v>
      </c>
      <c r="R2" s="1" t="s">
        <v>110</v>
      </c>
    </row>
    <row r="3" spans="1:18" ht="38.25" x14ac:dyDescent="0.2">
      <c r="A3" s="21">
        <v>19</v>
      </c>
      <c r="B3" s="6" t="s">
        <v>21</v>
      </c>
      <c r="C3" s="6" t="s">
        <v>21</v>
      </c>
      <c r="D3" s="6" t="s">
        <v>74</v>
      </c>
      <c r="E3" s="6" t="s">
        <v>75</v>
      </c>
      <c r="F3" s="9" t="s">
        <v>76</v>
      </c>
      <c r="G3" s="7" t="s">
        <v>39</v>
      </c>
      <c r="H3" s="10">
        <v>8</v>
      </c>
      <c r="I3" s="10">
        <v>7</v>
      </c>
      <c r="J3" s="10">
        <v>7</v>
      </c>
      <c r="K3" s="11">
        <v>773</v>
      </c>
      <c r="L3" s="6" t="s">
        <v>77</v>
      </c>
      <c r="M3" s="6" t="s">
        <v>77</v>
      </c>
      <c r="N3" s="10">
        <v>4</v>
      </c>
      <c r="O3" s="10">
        <v>2</v>
      </c>
      <c r="P3" s="10">
        <v>1</v>
      </c>
      <c r="Q3" s="12">
        <v>140.03</v>
      </c>
      <c r="R3" s="19">
        <f>(K3-Q3)/K3</f>
        <v>0.81884864165588622</v>
      </c>
    </row>
    <row r="4" spans="1:18" ht="25.5" x14ac:dyDescent="0.2">
      <c r="A4" s="21">
        <v>14</v>
      </c>
      <c r="B4" s="6" t="s">
        <v>68</v>
      </c>
      <c r="C4" s="9" t="s">
        <v>64</v>
      </c>
      <c r="D4" s="6" t="s">
        <v>65</v>
      </c>
      <c r="E4" s="6" t="s">
        <v>66</v>
      </c>
      <c r="F4" s="6" t="s">
        <v>67</v>
      </c>
      <c r="G4" s="7" t="s">
        <v>39</v>
      </c>
      <c r="H4" s="10">
        <v>8</v>
      </c>
      <c r="I4" s="10">
        <v>3</v>
      </c>
      <c r="J4" s="10">
        <v>8</v>
      </c>
      <c r="K4" s="11">
        <v>666.93</v>
      </c>
      <c r="L4" s="9" t="s">
        <v>70</v>
      </c>
      <c r="M4" s="9" t="s">
        <v>70</v>
      </c>
      <c r="N4" s="10">
        <v>7</v>
      </c>
      <c r="O4" s="10">
        <v>1</v>
      </c>
      <c r="P4" s="10">
        <v>1</v>
      </c>
      <c r="Q4" s="12">
        <v>167.57</v>
      </c>
      <c r="R4" s="19">
        <f>(K4-Q4)/K4</f>
        <v>0.74874424602282097</v>
      </c>
    </row>
    <row r="5" spans="1:18" ht="38.25" x14ac:dyDescent="0.2">
      <c r="A5" s="21">
        <v>1</v>
      </c>
      <c r="B5" s="6" t="s">
        <v>35</v>
      </c>
      <c r="C5" s="6" t="s">
        <v>35</v>
      </c>
      <c r="D5" s="6" t="s">
        <v>36</v>
      </c>
      <c r="E5" s="6" t="s">
        <v>37</v>
      </c>
      <c r="F5" s="6" t="s">
        <v>38</v>
      </c>
      <c r="G5" s="7" t="s">
        <v>39</v>
      </c>
      <c r="H5" s="8">
        <v>8</v>
      </c>
      <c r="I5" s="8">
        <v>3</v>
      </c>
      <c r="J5" s="8">
        <v>7</v>
      </c>
      <c r="K5" s="6">
        <v>577.6</v>
      </c>
      <c r="L5" s="6" t="s">
        <v>40</v>
      </c>
      <c r="M5" s="6" t="s">
        <v>41</v>
      </c>
      <c r="N5" s="8">
        <v>8</v>
      </c>
      <c r="O5" s="8">
        <v>1</v>
      </c>
      <c r="P5" s="8">
        <v>2</v>
      </c>
      <c r="Q5" s="8">
        <v>243.31</v>
      </c>
      <c r="R5" s="19">
        <f>(K5-Q5)/K5</f>
        <v>0.57875692520775623</v>
      </c>
    </row>
    <row r="6" spans="1:18" ht="25.5" x14ac:dyDescent="0.2">
      <c r="A6" s="21">
        <v>6</v>
      </c>
      <c r="B6" s="6" t="s">
        <v>107</v>
      </c>
      <c r="C6" s="6" t="s">
        <v>107</v>
      </c>
      <c r="D6" s="6" t="s">
        <v>10</v>
      </c>
      <c r="E6" s="6" t="s">
        <v>11</v>
      </c>
      <c r="F6" s="6" t="s">
        <v>12</v>
      </c>
      <c r="G6" s="7" t="s">
        <v>39</v>
      </c>
      <c r="H6" s="10">
        <v>5</v>
      </c>
      <c r="I6" s="10">
        <v>4</v>
      </c>
      <c r="J6" s="10">
        <v>8</v>
      </c>
      <c r="K6" s="11">
        <v>561.05999999999995</v>
      </c>
      <c r="L6" s="6" t="s">
        <v>56</v>
      </c>
      <c r="M6" s="6" t="s">
        <v>57</v>
      </c>
      <c r="N6" s="10">
        <v>5</v>
      </c>
      <c r="O6" s="10">
        <v>1</v>
      </c>
      <c r="P6" s="10">
        <v>2</v>
      </c>
      <c r="Q6" s="12">
        <v>161.62</v>
      </c>
      <c r="R6" s="19">
        <f>(K6-Q6)/K6</f>
        <v>0.71193811713542221</v>
      </c>
    </row>
    <row r="7" spans="1:18" ht="38.25" x14ac:dyDescent="0.2">
      <c r="A7" s="21">
        <v>17</v>
      </c>
      <c r="B7" s="6" t="s">
        <v>68</v>
      </c>
      <c r="C7" s="15" t="s">
        <v>96</v>
      </c>
      <c r="D7" s="15" t="s">
        <v>95</v>
      </c>
      <c r="E7" s="9" t="s">
        <v>97</v>
      </c>
      <c r="F7" s="9" t="s">
        <v>99</v>
      </c>
      <c r="G7" s="16" t="s">
        <v>39</v>
      </c>
      <c r="H7" s="17">
        <v>4</v>
      </c>
      <c r="I7" s="17">
        <v>6</v>
      </c>
      <c r="J7" s="17">
        <v>6</v>
      </c>
      <c r="K7" s="15">
        <v>546.73</v>
      </c>
      <c r="L7" s="15" t="s">
        <v>100</v>
      </c>
      <c r="M7" s="15" t="s">
        <v>100</v>
      </c>
      <c r="N7" s="17">
        <v>4</v>
      </c>
      <c r="O7" s="17">
        <v>3</v>
      </c>
      <c r="P7" s="17">
        <v>1</v>
      </c>
      <c r="Q7" s="15">
        <v>165.8</v>
      </c>
      <c r="R7" s="19">
        <f>(K7-Q7)/K7</f>
        <v>0.69674245056975104</v>
      </c>
    </row>
    <row r="8" spans="1:18" ht="63.75" x14ac:dyDescent="0.2">
      <c r="A8" s="21">
        <v>11</v>
      </c>
      <c r="B8" s="6" t="s">
        <v>68</v>
      </c>
      <c r="C8" s="6" t="s">
        <v>68</v>
      </c>
      <c r="D8" s="6" t="s">
        <v>84</v>
      </c>
      <c r="E8" s="6" t="s">
        <v>85</v>
      </c>
      <c r="F8" s="9" t="s">
        <v>86</v>
      </c>
      <c r="G8" s="7" t="s">
        <v>39</v>
      </c>
      <c r="H8" s="10">
        <v>7</v>
      </c>
      <c r="I8" s="10">
        <v>3</v>
      </c>
      <c r="J8" s="10">
        <v>6</v>
      </c>
      <c r="K8" s="11">
        <v>520.67999999999995</v>
      </c>
      <c r="L8" s="6" t="s">
        <v>87</v>
      </c>
      <c r="M8" s="6" t="s">
        <v>88</v>
      </c>
      <c r="N8" s="10">
        <v>7</v>
      </c>
      <c r="O8" s="10">
        <v>2</v>
      </c>
      <c r="P8" s="10">
        <v>2</v>
      </c>
      <c r="Q8" s="12">
        <v>323.14</v>
      </c>
      <c r="R8" s="19">
        <f>(K8-Q8)/K8</f>
        <v>0.37938849197203656</v>
      </c>
    </row>
    <row r="9" spans="1:18" ht="38.25" x14ac:dyDescent="0.2">
      <c r="A9" s="21">
        <v>8</v>
      </c>
      <c r="B9" s="6" t="s">
        <v>68</v>
      </c>
      <c r="C9" s="6" t="s">
        <v>60</v>
      </c>
      <c r="D9" s="6" t="s">
        <v>15</v>
      </c>
      <c r="E9" s="6" t="s">
        <v>11</v>
      </c>
      <c r="F9" s="6" t="s">
        <v>61</v>
      </c>
      <c r="G9" s="6" t="s">
        <v>20</v>
      </c>
      <c r="H9" s="10">
        <v>9</v>
      </c>
      <c r="I9" s="10">
        <v>2</v>
      </c>
      <c r="J9" s="10">
        <v>5</v>
      </c>
      <c r="K9" s="11">
        <v>500.5</v>
      </c>
      <c r="L9" s="6" t="s">
        <v>17</v>
      </c>
      <c r="M9" s="6" t="s">
        <v>17</v>
      </c>
      <c r="N9" s="10">
        <v>3</v>
      </c>
      <c r="O9" s="10">
        <v>2</v>
      </c>
      <c r="P9" s="10">
        <v>1</v>
      </c>
      <c r="Q9" s="12">
        <v>140.03</v>
      </c>
      <c r="R9" s="19">
        <f>(K9-Q9)/K9</f>
        <v>0.72021978021978028</v>
      </c>
    </row>
    <row r="10" spans="1:18" ht="51" x14ac:dyDescent="0.2">
      <c r="A10" s="21">
        <v>21</v>
      </c>
      <c r="B10" s="6" t="s">
        <v>108</v>
      </c>
      <c r="C10" s="6" t="s">
        <v>83</v>
      </c>
      <c r="D10" s="6" t="s">
        <v>81</v>
      </c>
      <c r="E10" s="6" t="s">
        <v>82</v>
      </c>
      <c r="F10" s="6" t="s">
        <v>23</v>
      </c>
      <c r="G10" s="13" t="s">
        <v>39</v>
      </c>
      <c r="H10" s="10">
        <v>9</v>
      </c>
      <c r="I10" s="10">
        <v>5</v>
      </c>
      <c r="J10" s="10">
        <v>2</v>
      </c>
      <c r="K10" s="11">
        <v>500.5</v>
      </c>
      <c r="L10" s="6" t="s">
        <v>34</v>
      </c>
      <c r="M10" s="6" t="s">
        <v>34</v>
      </c>
      <c r="N10" s="10">
        <v>5</v>
      </c>
      <c r="O10" s="10">
        <v>2</v>
      </c>
      <c r="P10" s="10">
        <v>2</v>
      </c>
      <c r="Q10" s="12">
        <v>237.52</v>
      </c>
      <c r="R10" s="19">
        <f>(K10-Q10)/K10</f>
        <v>0.52543456543456546</v>
      </c>
    </row>
    <row r="11" spans="1:18" ht="51" x14ac:dyDescent="0.2">
      <c r="A11" s="21">
        <v>18</v>
      </c>
      <c r="B11" s="6" t="s">
        <v>68</v>
      </c>
      <c r="C11" s="15" t="s">
        <v>96</v>
      </c>
      <c r="D11" s="15" t="s">
        <v>95</v>
      </c>
      <c r="E11" s="9" t="s">
        <v>97</v>
      </c>
      <c r="F11" s="9" t="s">
        <v>98</v>
      </c>
      <c r="G11" s="16" t="s">
        <v>39</v>
      </c>
      <c r="H11" s="17">
        <v>4</v>
      </c>
      <c r="I11" s="17">
        <v>5</v>
      </c>
      <c r="J11" s="17">
        <v>5</v>
      </c>
      <c r="K11" s="15">
        <v>454.27</v>
      </c>
      <c r="L11" s="9" t="s">
        <v>101</v>
      </c>
      <c r="M11" s="9" t="s">
        <v>101</v>
      </c>
      <c r="N11" s="17">
        <v>4</v>
      </c>
      <c r="O11" s="17">
        <v>2</v>
      </c>
      <c r="P11" s="17">
        <v>1</v>
      </c>
      <c r="Q11" s="15">
        <v>140.03</v>
      </c>
      <c r="R11" s="19">
        <f>(K11-Q11)/K11</f>
        <v>0.69174719880247437</v>
      </c>
    </row>
    <row r="12" spans="1:18" ht="51" x14ac:dyDescent="0.2">
      <c r="A12" s="21">
        <v>2</v>
      </c>
      <c r="B12" s="6" t="s">
        <v>103</v>
      </c>
      <c r="C12" s="6" t="s">
        <v>103</v>
      </c>
      <c r="D12" s="6" t="s">
        <v>102</v>
      </c>
      <c r="E12" s="6" t="s">
        <v>104</v>
      </c>
      <c r="F12" s="6" t="s">
        <v>105</v>
      </c>
      <c r="G12" s="7" t="s">
        <v>39</v>
      </c>
      <c r="H12" s="8">
        <v>5</v>
      </c>
      <c r="I12" s="8">
        <v>3</v>
      </c>
      <c r="J12" s="8">
        <v>5</v>
      </c>
      <c r="K12" s="6">
        <v>425.34</v>
      </c>
      <c r="L12" s="6" t="s">
        <v>106</v>
      </c>
      <c r="M12" s="6" t="s">
        <v>106</v>
      </c>
      <c r="N12" s="8">
        <v>5</v>
      </c>
      <c r="O12" s="8">
        <v>1</v>
      </c>
      <c r="P12" s="8">
        <v>1</v>
      </c>
      <c r="Q12" s="8">
        <v>162.47999999999999</v>
      </c>
      <c r="R12" s="19">
        <f>(K12-Q12)/K12</f>
        <v>0.61799971787276065</v>
      </c>
    </row>
    <row r="13" spans="1:18" ht="76.5" x14ac:dyDescent="0.2">
      <c r="A13" s="21">
        <v>15</v>
      </c>
      <c r="B13" s="6" t="s">
        <v>68</v>
      </c>
      <c r="C13" s="15" t="s">
        <v>93</v>
      </c>
      <c r="D13" s="15" t="s">
        <v>89</v>
      </c>
      <c r="E13" s="9" t="s">
        <v>91</v>
      </c>
      <c r="F13" s="9" t="s">
        <v>92</v>
      </c>
      <c r="G13" s="16" t="s">
        <v>39</v>
      </c>
      <c r="H13" s="17">
        <v>5</v>
      </c>
      <c r="I13" s="17">
        <v>3</v>
      </c>
      <c r="J13" s="17">
        <v>5</v>
      </c>
      <c r="K13" s="15">
        <v>425.34</v>
      </c>
      <c r="L13" s="9" t="s">
        <v>94</v>
      </c>
      <c r="M13" s="9" t="s">
        <v>94</v>
      </c>
      <c r="N13" s="17">
        <v>5</v>
      </c>
      <c r="O13" s="17">
        <v>1</v>
      </c>
      <c r="P13" s="17">
        <v>1</v>
      </c>
      <c r="Q13" s="15">
        <v>162.47999999999999</v>
      </c>
      <c r="R13" s="19">
        <f>(K13-Q13)/K13</f>
        <v>0.61799971787276065</v>
      </c>
    </row>
    <row r="14" spans="1:18" ht="76.5" x14ac:dyDescent="0.2">
      <c r="A14" s="21">
        <v>16</v>
      </c>
      <c r="B14" s="6" t="s">
        <v>68</v>
      </c>
      <c r="C14" s="15" t="s">
        <v>93</v>
      </c>
      <c r="D14" s="15" t="s">
        <v>89</v>
      </c>
      <c r="E14" s="9" t="s">
        <v>90</v>
      </c>
      <c r="F14" s="9" t="s">
        <v>92</v>
      </c>
      <c r="G14" s="16" t="s">
        <v>39</v>
      </c>
      <c r="H14" s="17">
        <v>5</v>
      </c>
      <c r="I14" s="17">
        <v>3</v>
      </c>
      <c r="J14" s="17">
        <v>5</v>
      </c>
      <c r="K14" s="15">
        <v>425.34</v>
      </c>
      <c r="L14" s="9" t="s">
        <v>94</v>
      </c>
      <c r="M14" s="9" t="s">
        <v>94</v>
      </c>
      <c r="N14" s="17">
        <v>5</v>
      </c>
      <c r="O14" s="17">
        <v>1</v>
      </c>
      <c r="P14" s="17">
        <v>1</v>
      </c>
      <c r="Q14" s="15">
        <v>162.47999999999999</v>
      </c>
      <c r="R14" s="19">
        <f>(K14-Q14)/K14</f>
        <v>0.61799971787276065</v>
      </c>
    </row>
    <row r="15" spans="1:18" ht="38.25" x14ac:dyDescent="0.2">
      <c r="A15" s="21">
        <v>20</v>
      </c>
      <c r="B15" s="6" t="s">
        <v>108</v>
      </c>
      <c r="C15" s="6" t="s">
        <v>22</v>
      </c>
      <c r="D15" s="6" t="s">
        <v>78</v>
      </c>
      <c r="E15" s="6" t="s">
        <v>79</v>
      </c>
      <c r="F15" s="6" t="s">
        <v>80</v>
      </c>
      <c r="G15" s="6" t="s">
        <v>54</v>
      </c>
      <c r="H15" s="10">
        <v>7</v>
      </c>
      <c r="I15" s="10">
        <v>3</v>
      </c>
      <c r="J15" s="10">
        <v>4</v>
      </c>
      <c r="K15" s="11">
        <v>411.13</v>
      </c>
      <c r="L15" s="6" t="s">
        <v>16</v>
      </c>
      <c r="M15" s="6" t="s">
        <v>16</v>
      </c>
      <c r="N15" s="10">
        <v>5</v>
      </c>
      <c r="O15" s="10">
        <v>3</v>
      </c>
      <c r="P15" s="10">
        <v>4</v>
      </c>
      <c r="Q15" s="12">
        <v>369.56</v>
      </c>
      <c r="R15" s="19">
        <f>(K15-Q15)/K15</f>
        <v>0.10111157054946122</v>
      </c>
    </row>
    <row r="16" spans="1:18" ht="25.5" x14ac:dyDescent="0.2">
      <c r="A16" s="21">
        <v>13</v>
      </c>
      <c r="B16" s="6" t="s">
        <v>68</v>
      </c>
      <c r="C16" s="6" t="s">
        <v>68</v>
      </c>
      <c r="D16" s="6" t="s">
        <v>80</v>
      </c>
      <c r="E16" s="6" t="s">
        <v>69</v>
      </c>
      <c r="F16" s="6" t="s">
        <v>19</v>
      </c>
      <c r="G16" s="6" t="s">
        <v>21</v>
      </c>
      <c r="H16" s="10">
        <v>10</v>
      </c>
      <c r="I16" s="10">
        <v>2</v>
      </c>
      <c r="J16" s="10">
        <v>3</v>
      </c>
      <c r="K16" s="11">
        <v>383.99</v>
      </c>
      <c r="L16" s="6" t="s">
        <v>17</v>
      </c>
      <c r="M16" s="6" t="s">
        <v>17</v>
      </c>
      <c r="N16" s="10">
        <v>3</v>
      </c>
      <c r="O16" s="10">
        <v>1</v>
      </c>
      <c r="P16" s="10">
        <v>1</v>
      </c>
      <c r="Q16" s="12">
        <v>54.17</v>
      </c>
      <c r="R16" s="19">
        <f>(K16-Q16)/K16</f>
        <v>0.85892861793275865</v>
      </c>
    </row>
    <row r="17" spans="1:18" ht="38.25" x14ac:dyDescent="0.2">
      <c r="A17" s="21">
        <v>3</v>
      </c>
      <c r="B17" s="6" t="s">
        <v>7</v>
      </c>
      <c r="C17" s="6" t="s">
        <v>8</v>
      </c>
      <c r="D17" s="6" t="s">
        <v>9</v>
      </c>
      <c r="E17" s="6" t="s">
        <v>42</v>
      </c>
      <c r="F17" s="9" t="s">
        <v>43</v>
      </c>
      <c r="G17" s="6" t="s">
        <v>39</v>
      </c>
      <c r="H17" s="10">
        <v>3</v>
      </c>
      <c r="I17" s="10">
        <v>4</v>
      </c>
      <c r="J17" s="10">
        <v>6</v>
      </c>
      <c r="K17" s="11">
        <v>369.56</v>
      </c>
      <c r="L17" s="6" t="s">
        <v>32</v>
      </c>
      <c r="M17" s="6" t="s">
        <v>44</v>
      </c>
      <c r="N17" s="10">
        <v>2</v>
      </c>
      <c r="O17" s="10">
        <v>2</v>
      </c>
      <c r="P17" s="10">
        <v>3</v>
      </c>
      <c r="Q17" s="12">
        <v>221.62</v>
      </c>
      <c r="R17" s="19">
        <f>(K17-Q17)/K17</f>
        <v>0.40031388678428398</v>
      </c>
    </row>
    <row r="18" spans="1:18" ht="51" x14ac:dyDescent="0.2">
      <c r="A18" s="21">
        <v>7</v>
      </c>
      <c r="B18" s="6" t="s">
        <v>107</v>
      </c>
      <c r="C18" s="6" t="s">
        <v>107</v>
      </c>
      <c r="D18" s="6" t="s">
        <v>13</v>
      </c>
      <c r="E18" s="6" t="s">
        <v>14</v>
      </c>
      <c r="F18" s="6" t="s">
        <v>12</v>
      </c>
      <c r="G18" s="6" t="s">
        <v>33</v>
      </c>
      <c r="H18" s="10">
        <v>8</v>
      </c>
      <c r="I18" s="10">
        <v>2</v>
      </c>
      <c r="J18" s="10">
        <v>2</v>
      </c>
      <c r="K18" s="11">
        <v>323.14</v>
      </c>
      <c r="L18" s="6" t="s">
        <v>58</v>
      </c>
      <c r="M18" s="6" t="s">
        <v>59</v>
      </c>
      <c r="N18" s="10">
        <v>2</v>
      </c>
      <c r="O18" s="10">
        <v>1</v>
      </c>
      <c r="P18" s="10">
        <v>1</v>
      </c>
      <c r="Q18" s="12">
        <v>61.53</v>
      </c>
      <c r="R18" s="19">
        <f>(K18-Q18)/K18</f>
        <v>0.80958717583709849</v>
      </c>
    </row>
    <row r="19" spans="1:18" ht="25.5" x14ac:dyDescent="0.2">
      <c r="A19" s="21">
        <v>10</v>
      </c>
      <c r="B19" s="6" t="s">
        <v>68</v>
      </c>
      <c r="C19" s="9" t="s">
        <v>62</v>
      </c>
      <c r="D19" s="6" t="s">
        <v>18</v>
      </c>
      <c r="E19" s="6" t="s">
        <v>11</v>
      </c>
      <c r="F19" s="6" t="s">
        <v>19</v>
      </c>
      <c r="G19" s="6" t="s">
        <v>21</v>
      </c>
      <c r="H19" s="10">
        <v>7</v>
      </c>
      <c r="I19" s="10">
        <v>2</v>
      </c>
      <c r="J19" s="10">
        <v>2</v>
      </c>
      <c r="K19" s="11">
        <v>323.14</v>
      </c>
      <c r="L19" s="6" t="s">
        <v>17</v>
      </c>
      <c r="M19" s="6" t="s">
        <v>17</v>
      </c>
      <c r="N19" s="10">
        <v>4</v>
      </c>
      <c r="O19" s="10">
        <v>1</v>
      </c>
      <c r="P19" s="10">
        <v>2</v>
      </c>
      <c r="Q19" s="12">
        <v>140.03</v>
      </c>
      <c r="R19" s="19">
        <f>(K19-Q19)/K19</f>
        <v>0.56665841430958719</v>
      </c>
    </row>
    <row r="20" spans="1:18" ht="25.5" x14ac:dyDescent="0.2">
      <c r="A20" s="21">
        <v>9</v>
      </c>
      <c r="B20" s="6" t="s">
        <v>68</v>
      </c>
      <c r="C20" s="6" t="s">
        <v>24</v>
      </c>
      <c r="D20" s="6" t="s">
        <v>63</v>
      </c>
      <c r="E20" s="6" t="s">
        <v>11</v>
      </c>
      <c r="F20" s="6" t="s">
        <v>19</v>
      </c>
      <c r="G20" s="6" t="s">
        <v>21</v>
      </c>
      <c r="H20" s="10">
        <v>5</v>
      </c>
      <c r="I20" s="10">
        <v>6</v>
      </c>
      <c r="J20" s="10">
        <v>1</v>
      </c>
      <c r="K20" s="11">
        <v>290.23</v>
      </c>
      <c r="L20" s="6" t="s">
        <v>17</v>
      </c>
      <c r="M20" s="6" t="s">
        <v>17</v>
      </c>
      <c r="N20" s="10">
        <v>3</v>
      </c>
      <c r="O20" s="10">
        <v>2</v>
      </c>
      <c r="P20" s="10">
        <v>1</v>
      </c>
      <c r="Q20" s="12">
        <v>140.03</v>
      </c>
      <c r="R20" s="19">
        <f>(K20-Q20)/K20</f>
        <v>0.51752058712055959</v>
      </c>
    </row>
    <row r="21" spans="1:18" ht="63.75" x14ac:dyDescent="0.2">
      <c r="A21" s="21">
        <v>5</v>
      </c>
      <c r="B21" s="6" t="s">
        <v>7</v>
      </c>
      <c r="C21" s="6" t="s">
        <v>45</v>
      </c>
      <c r="D21" s="6" t="s">
        <v>46</v>
      </c>
      <c r="E21" s="6" t="s">
        <v>47</v>
      </c>
      <c r="F21" s="9" t="s">
        <v>48</v>
      </c>
      <c r="G21" s="6" t="s">
        <v>49</v>
      </c>
      <c r="H21" s="10">
        <v>2</v>
      </c>
      <c r="I21" s="10">
        <v>7</v>
      </c>
      <c r="J21" s="10">
        <v>1</v>
      </c>
      <c r="K21" s="11">
        <v>243.31</v>
      </c>
      <c r="L21" s="6" t="s">
        <v>50</v>
      </c>
      <c r="M21" s="6" t="s">
        <v>50</v>
      </c>
      <c r="N21" s="10">
        <v>2</v>
      </c>
      <c r="O21" s="10">
        <v>5</v>
      </c>
      <c r="P21" s="10">
        <v>1</v>
      </c>
      <c r="Q21" s="12">
        <v>161.52000000000001</v>
      </c>
      <c r="R21" s="19">
        <f>(K21-Q21)/K21</f>
        <v>0.33615552176236074</v>
      </c>
    </row>
    <row r="22" spans="1:18" ht="76.5" x14ac:dyDescent="0.2">
      <c r="A22" s="21">
        <v>4</v>
      </c>
      <c r="B22" s="6" t="s">
        <v>7</v>
      </c>
      <c r="C22" s="6" t="s">
        <v>45</v>
      </c>
      <c r="D22" s="6" t="s">
        <v>51</v>
      </c>
      <c r="E22" s="6" t="s">
        <v>55</v>
      </c>
      <c r="F22" s="6" t="s">
        <v>52</v>
      </c>
      <c r="G22" s="7" t="s">
        <v>39</v>
      </c>
      <c r="H22" s="10">
        <v>5</v>
      </c>
      <c r="I22" s="10">
        <v>3</v>
      </c>
      <c r="J22" s="10">
        <v>2</v>
      </c>
      <c r="K22" s="11">
        <v>241.46</v>
      </c>
      <c r="L22" s="6" t="s">
        <v>53</v>
      </c>
      <c r="M22" s="6" t="s">
        <v>53</v>
      </c>
      <c r="N22" s="10">
        <v>2</v>
      </c>
      <c r="O22" s="10">
        <v>3</v>
      </c>
      <c r="P22" s="10">
        <v>1</v>
      </c>
      <c r="Q22" s="12">
        <v>140.03</v>
      </c>
      <c r="R22" s="19">
        <f>(K22-Q22)/K22</f>
        <v>0.42006957674148931</v>
      </c>
    </row>
    <row r="23" spans="1:18" ht="25.5" x14ac:dyDescent="0.2">
      <c r="A23" s="21">
        <v>12</v>
      </c>
      <c r="B23" s="6" t="s">
        <v>68</v>
      </c>
      <c r="C23" s="6" t="s">
        <v>68</v>
      </c>
      <c r="D23" s="6" t="s">
        <v>71</v>
      </c>
      <c r="E23" s="6" t="s">
        <v>11</v>
      </c>
      <c r="F23" s="9" t="s">
        <v>72</v>
      </c>
      <c r="G23" s="7" t="s">
        <v>39</v>
      </c>
      <c r="H23" s="10">
        <v>6</v>
      </c>
      <c r="I23" s="10">
        <v>2</v>
      </c>
      <c r="J23" s="10">
        <v>1</v>
      </c>
      <c r="K23" s="11">
        <v>217.63</v>
      </c>
      <c r="L23" s="6" t="s">
        <v>73</v>
      </c>
      <c r="M23" s="6" t="s">
        <v>73</v>
      </c>
      <c r="N23" s="10">
        <v>2</v>
      </c>
      <c r="O23" s="10">
        <v>1</v>
      </c>
      <c r="P23" s="10">
        <v>1</v>
      </c>
      <c r="Q23" s="12">
        <v>61.53</v>
      </c>
      <c r="R23" s="19">
        <f>(K23-Q23)/K23</f>
        <v>0.71727243486651659</v>
      </c>
    </row>
  </sheetData>
  <sortState xmlns:xlrd2="http://schemas.microsoft.com/office/spreadsheetml/2017/richdata2" ref="A3:R23">
    <sortCondition descending="1" ref="K3:K23"/>
  </sortState>
  <mergeCells count="2">
    <mergeCell ref="G1:K1"/>
    <mergeCell ref="M1:Q1"/>
  </mergeCells>
  <pageMargins left="0.7" right="0.7" top="0.75" bottom="0.75" header="0.3" footer="0.3"/>
  <pageSetup paperSize="9" scale="4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3BCB7-6518-47C6-B205-3F47EBE05EAF}">
  <sheetPr codeName="Munka2"/>
  <dimension ref="A1:B46"/>
  <sheetViews>
    <sheetView workbookViewId="0">
      <selection activeCell="A25" sqref="A25:B46"/>
    </sheetView>
  </sheetViews>
  <sheetFormatPr defaultRowHeight="12.75" x14ac:dyDescent="0.2"/>
  <sheetData>
    <row r="1" spans="1:2" x14ac:dyDescent="0.2">
      <c r="A1" s="20" t="s">
        <v>109</v>
      </c>
      <c r="B1" s="3" t="s">
        <v>31</v>
      </c>
    </row>
    <row r="2" spans="1:2" x14ac:dyDescent="0.2">
      <c r="A2" s="21" t="s">
        <v>111</v>
      </c>
      <c r="B2" s="11">
        <v>773</v>
      </c>
    </row>
    <row r="3" spans="1:2" x14ac:dyDescent="0.2">
      <c r="A3" s="21" t="s">
        <v>112</v>
      </c>
      <c r="B3" s="11">
        <v>666.93</v>
      </c>
    </row>
    <row r="4" spans="1:2" x14ac:dyDescent="0.2">
      <c r="A4" s="21" t="s">
        <v>113</v>
      </c>
      <c r="B4" s="6">
        <v>577.6</v>
      </c>
    </row>
    <row r="5" spans="1:2" x14ac:dyDescent="0.2">
      <c r="A5" s="21" t="s">
        <v>114</v>
      </c>
      <c r="B5" s="11">
        <v>561.05999999999995</v>
      </c>
    </row>
    <row r="6" spans="1:2" x14ac:dyDescent="0.2">
      <c r="A6" s="21" t="s">
        <v>115</v>
      </c>
      <c r="B6" s="15">
        <v>546.73</v>
      </c>
    </row>
    <row r="7" spans="1:2" x14ac:dyDescent="0.2">
      <c r="A7" s="21" t="s">
        <v>116</v>
      </c>
      <c r="B7" s="11">
        <v>520.67999999999995</v>
      </c>
    </row>
    <row r="8" spans="1:2" x14ac:dyDescent="0.2">
      <c r="A8" s="21" t="s">
        <v>117</v>
      </c>
      <c r="B8" s="11">
        <v>500.5</v>
      </c>
    </row>
    <row r="9" spans="1:2" x14ac:dyDescent="0.2">
      <c r="A9" s="21" t="s">
        <v>118</v>
      </c>
      <c r="B9" s="11">
        <v>500.5</v>
      </c>
    </row>
    <row r="10" spans="1:2" x14ac:dyDescent="0.2">
      <c r="A10" s="21" t="s">
        <v>119</v>
      </c>
      <c r="B10" s="15">
        <v>454.27</v>
      </c>
    </row>
    <row r="11" spans="1:2" x14ac:dyDescent="0.2">
      <c r="A11" s="21" t="s">
        <v>120</v>
      </c>
      <c r="B11" s="6">
        <v>425.34</v>
      </c>
    </row>
    <row r="12" spans="1:2" x14ac:dyDescent="0.2">
      <c r="A12" s="21" t="s">
        <v>121</v>
      </c>
      <c r="B12" s="15">
        <v>425.34</v>
      </c>
    </row>
    <row r="13" spans="1:2" x14ac:dyDescent="0.2">
      <c r="A13" s="21" t="s">
        <v>122</v>
      </c>
      <c r="B13" s="15">
        <v>425.34</v>
      </c>
    </row>
    <row r="14" spans="1:2" x14ac:dyDescent="0.2">
      <c r="A14" s="21" t="s">
        <v>123</v>
      </c>
      <c r="B14" s="11">
        <v>411.13</v>
      </c>
    </row>
    <row r="15" spans="1:2" x14ac:dyDescent="0.2">
      <c r="A15" s="21" t="s">
        <v>124</v>
      </c>
      <c r="B15" s="11">
        <v>383.99</v>
      </c>
    </row>
    <row r="16" spans="1:2" x14ac:dyDescent="0.2">
      <c r="A16" s="21" t="s">
        <v>125</v>
      </c>
      <c r="B16" s="11">
        <v>369.56</v>
      </c>
    </row>
    <row r="17" spans="1:2" x14ac:dyDescent="0.2">
      <c r="A17" s="21" t="s">
        <v>126</v>
      </c>
      <c r="B17" s="11">
        <v>323.14</v>
      </c>
    </row>
    <row r="18" spans="1:2" x14ac:dyDescent="0.2">
      <c r="A18" s="21" t="s">
        <v>127</v>
      </c>
      <c r="B18" s="11">
        <v>323.14</v>
      </c>
    </row>
    <row r="19" spans="1:2" x14ac:dyDescent="0.2">
      <c r="A19" s="21" t="s">
        <v>128</v>
      </c>
      <c r="B19" s="11">
        <v>290.23</v>
      </c>
    </row>
    <row r="20" spans="1:2" x14ac:dyDescent="0.2">
      <c r="A20" s="21" t="s">
        <v>129</v>
      </c>
      <c r="B20" s="11">
        <v>243.31</v>
      </c>
    </row>
    <row r="21" spans="1:2" x14ac:dyDescent="0.2">
      <c r="A21" s="21" t="s">
        <v>130</v>
      </c>
      <c r="B21" s="11">
        <v>241.46</v>
      </c>
    </row>
    <row r="22" spans="1:2" x14ac:dyDescent="0.2">
      <c r="A22" s="21" t="s">
        <v>131</v>
      </c>
      <c r="B22" s="11">
        <v>217.63</v>
      </c>
    </row>
    <row r="25" spans="1:2" x14ac:dyDescent="0.2">
      <c r="A25" s="20" t="s">
        <v>109</v>
      </c>
      <c r="B25" s="4" t="s">
        <v>31</v>
      </c>
    </row>
    <row r="26" spans="1:2" x14ac:dyDescent="0.2">
      <c r="A26" s="21" t="s">
        <v>111</v>
      </c>
      <c r="B26" s="12">
        <v>140.03</v>
      </c>
    </row>
    <row r="27" spans="1:2" x14ac:dyDescent="0.2">
      <c r="A27" s="21" t="s">
        <v>112</v>
      </c>
      <c r="B27" s="12">
        <v>167.57</v>
      </c>
    </row>
    <row r="28" spans="1:2" x14ac:dyDescent="0.2">
      <c r="A28" s="21" t="s">
        <v>113</v>
      </c>
      <c r="B28" s="8">
        <v>243.31</v>
      </c>
    </row>
    <row r="29" spans="1:2" x14ac:dyDescent="0.2">
      <c r="A29" s="21" t="s">
        <v>114</v>
      </c>
      <c r="B29" s="12">
        <v>161.62</v>
      </c>
    </row>
    <row r="30" spans="1:2" x14ac:dyDescent="0.2">
      <c r="A30" s="21" t="s">
        <v>115</v>
      </c>
      <c r="B30" s="15">
        <v>165.8</v>
      </c>
    </row>
    <row r="31" spans="1:2" x14ac:dyDescent="0.2">
      <c r="A31" s="21" t="s">
        <v>116</v>
      </c>
      <c r="B31" s="12">
        <v>323.14</v>
      </c>
    </row>
    <row r="32" spans="1:2" x14ac:dyDescent="0.2">
      <c r="A32" s="21" t="s">
        <v>117</v>
      </c>
      <c r="B32" s="12">
        <v>140.03</v>
      </c>
    </row>
    <row r="33" spans="1:2" x14ac:dyDescent="0.2">
      <c r="A33" s="21" t="s">
        <v>118</v>
      </c>
      <c r="B33" s="12">
        <v>237.52</v>
      </c>
    </row>
    <row r="34" spans="1:2" x14ac:dyDescent="0.2">
      <c r="A34" s="21" t="s">
        <v>119</v>
      </c>
      <c r="B34" s="15">
        <v>140.03</v>
      </c>
    </row>
    <row r="35" spans="1:2" x14ac:dyDescent="0.2">
      <c r="A35" s="21" t="s">
        <v>120</v>
      </c>
      <c r="B35" s="8">
        <v>162.47999999999999</v>
      </c>
    </row>
    <row r="36" spans="1:2" x14ac:dyDescent="0.2">
      <c r="A36" s="21" t="s">
        <v>121</v>
      </c>
      <c r="B36" s="15">
        <v>162.47999999999999</v>
      </c>
    </row>
    <row r="37" spans="1:2" x14ac:dyDescent="0.2">
      <c r="A37" s="21" t="s">
        <v>122</v>
      </c>
      <c r="B37" s="15">
        <v>162.47999999999999</v>
      </c>
    </row>
    <row r="38" spans="1:2" x14ac:dyDescent="0.2">
      <c r="A38" s="21" t="s">
        <v>123</v>
      </c>
      <c r="B38" s="12">
        <v>369.56</v>
      </c>
    </row>
    <row r="39" spans="1:2" x14ac:dyDescent="0.2">
      <c r="A39" s="21" t="s">
        <v>124</v>
      </c>
      <c r="B39" s="12">
        <v>54.17</v>
      </c>
    </row>
    <row r="40" spans="1:2" x14ac:dyDescent="0.2">
      <c r="A40" s="21" t="s">
        <v>125</v>
      </c>
      <c r="B40" s="12">
        <v>221.62</v>
      </c>
    </row>
    <row r="41" spans="1:2" x14ac:dyDescent="0.2">
      <c r="A41" s="21" t="s">
        <v>126</v>
      </c>
      <c r="B41" s="12">
        <v>61.53</v>
      </c>
    </row>
    <row r="42" spans="1:2" x14ac:dyDescent="0.2">
      <c r="A42" s="21" t="s">
        <v>127</v>
      </c>
      <c r="B42" s="12">
        <v>140.03</v>
      </c>
    </row>
    <row r="43" spans="1:2" x14ac:dyDescent="0.2">
      <c r="A43" s="21" t="s">
        <v>128</v>
      </c>
      <c r="B43" s="12">
        <v>140.03</v>
      </c>
    </row>
    <row r="44" spans="1:2" x14ac:dyDescent="0.2">
      <c r="A44" s="21" t="s">
        <v>129</v>
      </c>
      <c r="B44" s="12">
        <v>161.52000000000001</v>
      </c>
    </row>
    <row r="45" spans="1:2" x14ac:dyDescent="0.2">
      <c r="A45" s="21" t="s">
        <v>130</v>
      </c>
      <c r="B45" s="12">
        <v>140.03</v>
      </c>
    </row>
    <row r="46" spans="1:2" x14ac:dyDescent="0.2">
      <c r="A46" s="21" t="s">
        <v>131</v>
      </c>
      <c r="B46" s="12">
        <v>61.53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35674-C1BF-4748-A97F-33DB4546DA76}">
  <dimension ref="A1:D22"/>
  <sheetViews>
    <sheetView workbookViewId="0">
      <selection activeCell="A2" sqref="A2:A11"/>
    </sheetView>
  </sheetViews>
  <sheetFormatPr defaultColWidth="15.83203125" defaultRowHeight="12.75" x14ac:dyDescent="0.2"/>
  <cols>
    <col min="2" max="2" width="31.6640625" customWidth="1"/>
    <col min="3" max="3" width="72.83203125" customWidth="1"/>
  </cols>
  <sheetData>
    <row r="1" spans="1:4" x14ac:dyDescent="0.2">
      <c r="A1" s="20" t="s">
        <v>109</v>
      </c>
      <c r="B1" s="2" t="s">
        <v>1</v>
      </c>
      <c r="C1" s="3" t="s">
        <v>6</v>
      </c>
      <c r="D1" s="1" t="s">
        <v>110</v>
      </c>
    </row>
    <row r="2" spans="1:4" ht="25.5" x14ac:dyDescent="0.2">
      <c r="A2" s="21">
        <v>19</v>
      </c>
      <c r="B2" s="6" t="s">
        <v>74</v>
      </c>
      <c r="C2" s="6" t="s">
        <v>77</v>
      </c>
      <c r="D2" s="19">
        <v>0.81884864165588622</v>
      </c>
    </row>
    <row r="3" spans="1:4" x14ac:dyDescent="0.2">
      <c r="A3" s="21">
        <v>14</v>
      </c>
      <c r="B3" s="6" t="s">
        <v>65</v>
      </c>
      <c r="C3" s="9" t="s">
        <v>70</v>
      </c>
      <c r="D3" s="19">
        <v>0.74874424602282097</v>
      </c>
    </row>
    <row r="4" spans="1:4" x14ac:dyDescent="0.2">
      <c r="A4" s="21">
        <v>1</v>
      </c>
      <c r="B4" s="6" t="s">
        <v>36</v>
      </c>
      <c r="C4" s="6" t="s">
        <v>41</v>
      </c>
      <c r="D4" s="19">
        <v>0.57875692520775623</v>
      </c>
    </row>
    <row r="5" spans="1:4" x14ac:dyDescent="0.2">
      <c r="A5" s="21">
        <v>6</v>
      </c>
      <c r="B5" s="6" t="s">
        <v>10</v>
      </c>
      <c r="C5" s="6" t="s">
        <v>57</v>
      </c>
      <c r="D5" s="19">
        <v>0.71193811713542221</v>
      </c>
    </row>
    <row r="6" spans="1:4" x14ac:dyDescent="0.2">
      <c r="A6" s="21">
        <v>17</v>
      </c>
      <c r="B6" s="15" t="s">
        <v>95</v>
      </c>
      <c r="C6" s="15" t="s">
        <v>100</v>
      </c>
      <c r="D6" s="19">
        <v>0.69674245056975104</v>
      </c>
    </row>
    <row r="7" spans="1:4" ht="25.5" x14ac:dyDescent="0.2">
      <c r="A7" s="21">
        <v>11</v>
      </c>
      <c r="B7" s="6" t="s">
        <v>84</v>
      </c>
      <c r="C7" s="6" t="s">
        <v>88</v>
      </c>
      <c r="D7" s="19">
        <v>0.37938849197203656</v>
      </c>
    </row>
    <row r="8" spans="1:4" x14ac:dyDescent="0.2">
      <c r="A8" s="21">
        <v>8</v>
      </c>
      <c r="B8" s="6" t="s">
        <v>15</v>
      </c>
      <c r="C8" s="6" t="s">
        <v>17</v>
      </c>
      <c r="D8" s="19">
        <v>0.72021978021978028</v>
      </c>
    </row>
    <row r="9" spans="1:4" x14ac:dyDescent="0.2">
      <c r="A9" s="21">
        <v>21</v>
      </c>
      <c r="B9" s="6" t="s">
        <v>81</v>
      </c>
      <c r="C9" s="6" t="s">
        <v>34</v>
      </c>
      <c r="D9" s="19">
        <v>0.52543456543456546</v>
      </c>
    </row>
    <row r="10" spans="1:4" ht="25.5" x14ac:dyDescent="0.2">
      <c r="A10" s="21">
        <v>18</v>
      </c>
      <c r="B10" s="15" t="s">
        <v>95</v>
      </c>
      <c r="C10" s="9" t="s">
        <v>101</v>
      </c>
      <c r="D10" s="19">
        <v>0.69174719880247437</v>
      </c>
    </row>
    <row r="11" spans="1:4" x14ac:dyDescent="0.2">
      <c r="A11" s="21">
        <v>2</v>
      </c>
      <c r="B11" s="6" t="s">
        <v>102</v>
      </c>
      <c r="C11" s="6" t="s">
        <v>106</v>
      </c>
      <c r="D11" s="19">
        <v>0.61799971787276065</v>
      </c>
    </row>
    <row r="12" spans="1:4" ht="25.5" x14ac:dyDescent="0.2">
      <c r="A12" s="21">
        <v>15</v>
      </c>
      <c r="B12" s="15" t="s">
        <v>89</v>
      </c>
      <c r="C12" s="9" t="s">
        <v>94</v>
      </c>
      <c r="D12" s="19">
        <v>0.61799971787276065</v>
      </c>
    </row>
    <row r="13" spans="1:4" ht="25.5" x14ac:dyDescent="0.2">
      <c r="A13" s="21">
        <v>16</v>
      </c>
      <c r="B13" s="15" t="s">
        <v>89</v>
      </c>
      <c r="C13" s="9" t="s">
        <v>94</v>
      </c>
      <c r="D13" s="19">
        <v>0.61799971787276065</v>
      </c>
    </row>
    <row r="14" spans="1:4" ht="25.5" x14ac:dyDescent="0.2">
      <c r="A14" s="21">
        <v>20</v>
      </c>
      <c r="B14" s="6" t="s">
        <v>78</v>
      </c>
      <c r="C14" s="6" t="s">
        <v>16</v>
      </c>
      <c r="D14" s="19">
        <v>0.10111157054946122</v>
      </c>
    </row>
    <row r="15" spans="1:4" x14ac:dyDescent="0.2">
      <c r="A15" s="21">
        <v>13</v>
      </c>
      <c r="B15" s="6" t="s">
        <v>80</v>
      </c>
      <c r="C15" s="6" t="s">
        <v>17</v>
      </c>
      <c r="D15" s="19">
        <v>0.85892861793275865</v>
      </c>
    </row>
    <row r="16" spans="1:4" x14ac:dyDescent="0.2">
      <c r="A16" s="21">
        <v>3</v>
      </c>
      <c r="B16" s="6" t="s">
        <v>9</v>
      </c>
      <c r="C16" s="6" t="s">
        <v>44</v>
      </c>
      <c r="D16" s="19">
        <v>0.40031388678428398</v>
      </c>
    </row>
    <row r="17" spans="1:4" ht="25.5" x14ac:dyDescent="0.2">
      <c r="A17" s="21">
        <v>7</v>
      </c>
      <c r="B17" s="6" t="s">
        <v>13</v>
      </c>
      <c r="C17" s="6" t="s">
        <v>59</v>
      </c>
      <c r="D17" s="19">
        <v>0.80958717583709849</v>
      </c>
    </row>
    <row r="18" spans="1:4" x14ac:dyDescent="0.2">
      <c r="A18" s="21">
        <v>10</v>
      </c>
      <c r="B18" s="6" t="s">
        <v>18</v>
      </c>
      <c r="C18" s="6" t="s">
        <v>17</v>
      </c>
      <c r="D18" s="19">
        <v>0.56665841430958719</v>
      </c>
    </row>
    <row r="19" spans="1:4" x14ac:dyDescent="0.2">
      <c r="A19" s="21">
        <v>9</v>
      </c>
      <c r="B19" s="6" t="s">
        <v>63</v>
      </c>
      <c r="C19" s="6" t="s">
        <v>17</v>
      </c>
      <c r="D19" s="19">
        <v>0.51752058712055959</v>
      </c>
    </row>
    <row r="20" spans="1:4" x14ac:dyDescent="0.2">
      <c r="A20" s="21">
        <v>5</v>
      </c>
      <c r="B20" s="6" t="s">
        <v>46</v>
      </c>
      <c r="C20" s="6" t="s">
        <v>50</v>
      </c>
      <c r="D20" s="19">
        <v>0.33615552176236074</v>
      </c>
    </row>
    <row r="21" spans="1:4" ht="25.5" x14ac:dyDescent="0.2">
      <c r="A21" s="21">
        <v>4</v>
      </c>
      <c r="B21" s="6" t="s">
        <v>51</v>
      </c>
      <c r="C21" s="6" t="s">
        <v>53</v>
      </c>
      <c r="D21" s="19">
        <v>0.42006957674148931</v>
      </c>
    </row>
    <row r="22" spans="1:4" x14ac:dyDescent="0.2">
      <c r="A22" s="21">
        <v>12</v>
      </c>
      <c r="B22" s="6" t="s">
        <v>71</v>
      </c>
      <c r="C22" s="6" t="s">
        <v>73</v>
      </c>
      <c r="D22" s="19">
        <v>0.71727243486651659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FMEA</vt:lpstr>
      <vt:lpstr>Charts</vt:lpstr>
      <vt:lpstr>Action efficiency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csaba</dc:creator>
  <cp:lastModifiedBy>Csaba Johanyák</cp:lastModifiedBy>
  <cp:lastPrinted>2023-12-26T08:26:22Z</cp:lastPrinted>
  <dcterms:created xsi:type="dcterms:W3CDTF">2023-12-20T08:13:15Z</dcterms:created>
  <dcterms:modified xsi:type="dcterms:W3CDTF">2023-12-28T17:09:34Z</dcterms:modified>
</cp:coreProperties>
</file>